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1ce29217455c75/Documents/"/>
    </mc:Choice>
  </mc:AlternateContent>
  <xr:revisionPtr revIDLastSave="0" documentId="8_{03BCF6B3-7682-4DDF-9DB8-F48D45ACA3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R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T2" i="2"/>
  <c r="S2" i="2"/>
  <c r="O4" i="2"/>
  <c r="O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12" i="2"/>
  <c r="H10" i="2"/>
  <c r="H3" i="2"/>
  <c r="H7" i="2"/>
  <c r="H5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<sst xmlns="http://schemas.openxmlformats.org/spreadsheetml/2006/main" count="172" uniqueCount="123">
  <si>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</si>
  <si>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</si>
  <si>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</si>
  <si>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</si>
  <si>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</si>
  <si>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</si>
  <si>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</si>
  <si>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</si>
  <si>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</si>
  <si>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</si>
  <si>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</si>
  <si>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</si>
  <si>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</si>
  <si>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</si>
  <si>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</si>
  <si>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</si>
  <si>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</si>
  <si>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</si>
  <si>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</si>
  <si>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</si>
  <si>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</si>
  <si>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</si>
  <si>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</si>
  <si>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</si>
  <si>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</si>
  <si>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</si>
  <si>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</si>
  <si>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</si>
  <si>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</si>
  <si>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</si>
  <si>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</si>
  <si>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</si>
  <si>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</si>
  <si>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</si>
  <si>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</si>
  <si>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</si>
  <si>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</si>
  <si>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</si>
  <si>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</si>
  <si>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</si>
  <si>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</si>
  <si>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</si>
  <si>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</si>
  <si>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</si>
  <si>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</si>
  <si>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</si>
  <si>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</si>
  <si>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</si>
  <si>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</si>
  <si>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</si>
  <si>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</si>
  <si>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</si>
  <si>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</si>
  <si>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</si>
  <si>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</si>
  <si>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</si>
  <si>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</si>
  <si>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</si>
  <si>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</si>
  <si>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</si>
  <si>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</si>
  <si>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</si>
  <si>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</si>
  <si>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</si>
  <si>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</si>
  <si>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</si>
  <si>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</si>
  <si>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</si>
  <si>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</si>
  <si>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</si>
  <si>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</si>
  <si>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</si>
  <si>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</si>
  <si>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</si>
  <si>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</si>
  <si>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</si>
  <si>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</si>
  <si>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</si>
  <si>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</si>
  <si>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</si>
  <si>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</si>
  <si>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</si>
  <si>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</si>
  <si>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</si>
  <si>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</si>
  <si>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</si>
  <si>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</si>
  <si>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</si>
  <si>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</si>
  <si>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</si>
  <si>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</si>
  <si>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</si>
  <si>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</si>
  <si>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</si>
  <si>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</si>
  <si>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</si>
  <si>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</si>
  <si>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</si>
  <si>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</si>
  <si>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</si>
  <si>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</si>
  <si>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</si>
  <si>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</si>
  <si>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</si>
  <si>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</si>
  <si>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</si>
  <si>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</si>
  <si>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</si>
  <si>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</si>
  <si>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</si>
  <si>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Maximum price of all product</t>
  </si>
  <si>
    <t>2.Minimum price of all product</t>
  </si>
  <si>
    <t>Average of price of product</t>
  </si>
  <si>
    <t>No.of products</t>
  </si>
  <si>
    <t>1.sum of all product</t>
  </si>
  <si>
    <t>Price Range</t>
  </si>
  <si>
    <t>PRICE ABOVE 500- HIGH</t>
  </si>
  <si>
    <t>OTHERS- STANDARD</t>
  </si>
  <si>
    <t>.Total price of elecronic products</t>
  </si>
  <si>
    <t>Count of products less than 100</t>
  </si>
  <si>
    <t>DAY</t>
  </si>
  <si>
    <t xml:space="preserve">COUNTRY CODE 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</si>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</sst>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9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5"/>
      <name val="Arial"/>
      <family val="2"/>
      <scheme val="minor"/>
    </font>
    <font>
      <b/>
      <sz val="10"/>
      <color theme="9"/>
      <name val="Arial"/>
      <family val="2"/>
      <scheme val="minor"/>
    </font>
    <font>
      <b/>
      <sz val="10"/>
      <color rgb="FF00206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theme="5" tint="-0.249977111117893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0"/>
      <color theme="4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8" fillId="5" borderId="0" xfId="0" applyFont="1" applyFill="1"/>
    <xf numFmtId="0" fontId="11" fillId="6" borderId="0" xfId="0" applyFont="1" applyFill="1"/>
    <xf numFmtId="0" fontId="8" fillId="7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abSelected="1" topLeftCell="J1" workbookViewId="0">
      <selection activeCell="T1" sqref="T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8" max="8" width="34.44140625" customWidth="1"/>
    <col min="12" max="12" width="29.88671875" customWidth="1"/>
    <col min="15" max="15" width="31.44140625" customWidth="1"/>
    <col min="19" max="19" width="17.5546875" customWidth="1"/>
  </cols>
  <sheetData>
    <row r="1" spans="1:2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I1" s="10">
        <v>3</v>
      </c>
      <c r="J1" s="15" t="s">
        <v>115</v>
      </c>
      <c r="N1" s="10">
        <v>4</v>
      </c>
      <c r="O1" s="17" t="s">
        <v>118</v>
      </c>
      <c r="Q1" s="10">
        <v>5</v>
      </c>
      <c r="R1" s="20" t="s">
        <v>120</v>
      </c>
      <c r="S1" s="20" t="s">
        <v>121</v>
      </c>
      <c r="T1" s="20" t="s">
        <v>122</v>
      </c>
    </row>
    <row r="2" spans="1:2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s="12" t="s">
        <v>114</v>
      </c>
      <c r="J2" s="16" t="str">
        <f>IF(D2&gt;500,"HIGH","STANDARD")</f>
        <v>HIGH</v>
      </c>
      <c r="O2" s="18">
        <f>SUMIF(F2:F35,"Electronics",D2:D35)</f>
        <v>8050</v>
      </c>
      <c r="R2" s="19" t="str">
        <f>LEFT(A2,2)</f>
        <v>28</v>
      </c>
      <c r="S2" s="19" t="str">
        <f>RIGHT(A2,2)</f>
        <v>US</v>
      </c>
      <c r="T2" s="19" t="str">
        <f>MID(A2,4,3)</f>
        <v>JAN</v>
      </c>
    </row>
    <row r="3" spans="1:2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H3" s="11">
        <f>SUM(D2:D35)</f>
        <v>10100</v>
      </c>
      <c r="J3" s="16" t="str">
        <f t="shared" ref="J3:J35" si="0">IF(D3&gt;500,"HIGH","STANDARD")</f>
        <v>STANDARD</v>
      </c>
      <c r="L3" s="14" t="s">
        <v>116</v>
      </c>
      <c r="O3" s="17" t="s">
        <v>119</v>
      </c>
      <c r="R3" s="19" t="str">
        <f t="shared" ref="R3:R35" si="1">LEFT(A3,2)</f>
        <v>15</v>
      </c>
      <c r="S3" s="19" t="str">
        <f t="shared" ref="S3:S35" si="2">RIGHT(A3,2)</f>
        <v>US</v>
      </c>
      <c r="T3" s="19" t="str">
        <f t="shared" ref="T3:T35" si="3">MID(A3,4,3)</f>
        <v>FEB</v>
      </c>
    </row>
    <row r="4" spans="1:2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H4" s="12" t="s">
        <v>113</v>
      </c>
      <c r="J4" s="16" t="str">
        <f t="shared" si="0"/>
        <v>STANDARD</v>
      </c>
      <c r="L4" s="14" t="s">
        <v>117</v>
      </c>
      <c r="O4" s="18">
        <f>COUNTIF(D2:D35,"&lt;100")</f>
        <v>11</v>
      </c>
      <c r="R4" s="19" t="str">
        <f t="shared" si="1"/>
        <v>03</v>
      </c>
      <c r="S4" s="19" t="str">
        <f t="shared" si="2"/>
        <v>US</v>
      </c>
      <c r="T4" s="19" t="str">
        <f t="shared" si="3"/>
        <v>MAR</v>
      </c>
    </row>
    <row r="5" spans="1:2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1">
        <f>COUNTA(B2:B35)</f>
        <v>34</v>
      </c>
      <c r="J5" s="16" t="str">
        <f t="shared" si="0"/>
        <v>HIGH</v>
      </c>
      <c r="R5" s="19" t="str">
        <f t="shared" si="1"/>
        <v>11</v>
      </c>
      <c r="S5" s="19" t="str">
        <f t="shared" si="2"/>
        <v>US</v>
      </c>
      <c r="T5" s="19" t="str">
        <f t="shared" si="3"/>
        <v>APR</v>
      </c>
    </row>
    <row r="6" spans="1:2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 s="12" t="s">
        <v>112</v>
      </c>
      <c r="J6" s="16" t="str">
        <f t="shared" si="0"/>
        <v>STANDARD</v>
      </c>
      <c r="R6" s="19" t="str">
        <f t="shared" si="1"/>
        <v>22</v>
      </c>
      <c r="S6" s="19" t="str">
        <f t="shared" si="2"/>
        <v>US</v>
      </c>
      <c r="T6" s="19" t="str">
        <f t="shared" si="3"/>
        <v>MAY</v>
      </c>
    </row>
    <row r="7" spans="1:2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  <c r="H7" s="11">
        <f>AVERAGE(D2:D35)</f>
        <v>297.05882352941177</v>
      </c>
      <c r="J7" s="16" t="str">
        <f t="shared" si="0"/>
        <v>STANDARD</v>
      </c>
      <c r="R7" s="19" t="str">
        <f t="shared" si="1"/>
        <v>07</v>
      </c>
      <c r="S7" s="19" t="str">
        <f t="shared" si="2"/>
        <v>UK</v>
      </c>
      <c r="T7" s="19" t="str">
        <f t="shared" si="3"/>
        <v>JUN</v>
      </c>
    </row>
    <row r="8" spans="1:2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J8" s="16" t="str">
        <f t="shared" si="0"/>
        <v>STANDARD</v>
      </c>
      <c r="R8" s="19" t="str">
        <f t="shared" si="1"/>
        <v>19</v>
      </c>
      <c r="S8" s="19" t="str">
        <f t="shared" si="2"/>
        <v>UK</v>
      </c>
      <c r="T8" s="19" t="str">
        <f t="shared" si="3"/>
        <v>JUL</v>
      </c>
    </row>
    <row r="9" spans="1:2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  <c r="H9" s="13" t="s">
        <v>111</v>
      </c>
      <c r="J9" s="16" t="str">
        <f t="shared" si="0"/>
        <v>STANDARD</v>
      </c>
      <c r="R9" s="19" t="str">
        <f t="shared" si="1"/>
        <v>23</v>
      </c>
      <c r="S9" s="19" t="str">
        <f t="shared" si="2"/>
        <v>UK</v>
      </c>
      <c r="T9" s="19" t="str">
        <f t="shared" si="3"/>
        <v>AUG</v>
      </c>
    </row>
    <row r="10" spans="1:2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H10" s="11">
        <f>MIN(D2:D35)</f>
        <v>30</v>
      </c>
      <c r="J10" s="16" t="str">
        <f t="shared" si="0"/>
        <v>STANDARD</v>
      </c>
      <c r="R10" s="19" t="str">
        <f t="shared" si="1"/>
        <v>05</v>
      </c>
      <c r="S10" s="19" t="str">
        <f t="shared" si="2"/>
        <v>UK</v>
      </c>
      <c r="T10" s="19" t="str">
        <f t="shared" si="3"/>
        <v>SEP</v>
      </c>
    </row>
    <row r="11" spans="1:2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  <c r="H11" s="12" t="s">
        <v>110</v>
      </c>
      <c r="J11" s="16" t="str">
        <f t="shared" si="0"/>
        <v>STANDARD</v>
      </c>
      <c r="R11" s="19" t="str">
        <f t="shared" si="1"/>
        <v>14</v>
      </c>
      <c r="S11" s="19" t="str">
        <f t="shared" si="2"/>
        <v>UK</v>
      </c>
      <c r="T11" s="19" t="str">
        <f t="shared" si="3"/>
        <v>OCT</v>
      </c>
    </row>
    <row r="12" spans="1:2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  <c r="H12" s="11">
        <f>MAX(D2:D35)</f>
        <v>1000</v>
      </c>
      <c r="J12" s="16" t="str">
        <f t="shared" si="0"/>
        <v>HIGH</v>
      </c>
      <c r="R12" s="19" t="str">
        <f t="shared" si="1"/>
        <v>17</v>
      </c>
      <c r="S12" s="19" t="str">
        <f t="shared" si="2"/>
        <v>IN</v>
      </c>
      <c r="T12" s="19" t="str">
        <f t="shared" si="3"/>
        <v>JUN</v>
      </c>
    </row>
    <row r="13" spans="1:2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  <c r="J13" s="16" t="str">
        <f t="shared" si="0"/>
        <v>STANDARD</v>
      </c>
      <c r="R13" s="19" t="str">
        <f t="shared" si="1"/>
        <v>25</v>
      </c>
      <c r="S13" s="19" t="str">
        <f t="shared" si="2"/>
        <v>AU</v>
      </c>
      <c r="T13" s="19" t="str">
        <f t="shared" si="3"/>
        <v>NOV</v>
      </c>
    </row>
    <row r="14" spans="1:2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  <c r="J14" s="16" t="str">
        <f t="shared" si="0"/>
        <v>STANDARD</v>
      </c>
      <c r="R14" s="19" t="str">
        <f t="shared" si="1"/>
        <v>08</v>
      </c>
      <c r="S14" s="19" t="str">
        <f t="shared" si="2"/>
        <v>DE</v>
      </c>
      <c r="T14" s="19" t="str">
        <f t="shared" si="3"/>
        <v>DEC</v>
      </c>
    </row>
    <row r="15" spans="1:2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  <c r="J15" s="16" t="str">
        <f t="shared" si="0"/>
        <v>STANDARD</v>
      </c>
      <c r="R15" s="19" t="str">
        <f t="shared" si="1"/>
        <v>18</v>
      </c>
      <c r="S15" s="19" t="str">
        <f t="shared" si="2"/>
        <v>CA</v>
      </c>
      <c r="T15" s="19" t="str">
        <f t="shared" si="3"/>
        <v>FEB</v>
      </c>
    </row>
    <row r="16" spans="1:2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  <c r="J16" s="16" t="str">
        <f t="shared" si="0"/>
        <v>STANDARD</v>
      </c>
      <c r="R16" s="19" t="str">
        <f t="shared" si="1"/>
        <v>16</v>
      </c>
      <c r="S16" s="19" t="str">
        <f t="shared" si="2"/>
        <v>ES</v>
      </c>
      <c r="T16" s="19" t="str">
        <f t="shared" si="3"/>
        <v>APR</v>
      </c>
    </row>
    <row r="17" spans="1:2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  <c r="J17" s="16" t="str">
        <f t="shared" si="0"/>
        <v>STANDARD</v>
      </c>
      <c r="R17" s="19" t="str">
        <f t="shared" si="1"/>
        <v>21</v>
      </c>
      <c r="S17" s="19" t="str">
        <f t="shared" si="2"/>
        <v>CA</v>
      </c>
      <c r="T17" s="19" t="str">
        <f t="shared" si="3"/>
        <v>AUG</v>
      </c>
    </row>
    <row r="18" spans="1:2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  <c r="J18" s="16" t="str">
        <f t="shared" si="0"/>
        <v>STANDARD</v>
      </c>
      <c r="R18" s="19" t="str">
        <f t="shared" si="1"/>
        <v>20</v>
      </c>
      <c r="S18" s="19" t="str">
        <f t="shared" si="2"/>
        <v>CN</v>
      </c>
      <c r="T18" s="19" t="str">
        <f t="shared" si="3"/>
        <v>AUG</v>
      </c>
    </row>
    <row r="19" spans="1:2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  <c r="J19" s="16" t="str">
        <f t="shared" si="0"/>
        <v>HIGH</v>
      </c>
      <c r="R19" s="19" t="str">
        <f t="shared" si="1"/>
        <v>27</v>
      </c>
      <c r="S19" s="19" t="str">
        <f t="shared" si="2"/>
        <v>IT</v>
      </c>
      <c r="T19" s="19" t="str">
        <f t="shared" si="3"/>
        <v>JAN</v>
      </c>
    </row>
    <row r="20" spans="1:2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  <c r="J20" s="16" t="str">
        <f t="shared" si="0"/>
        <v>STANDARD</v>
      </c>
      <c r="R20" s="19" t="str">
        <f t="shared" si="1"/>
        <v>01</v>
      </c>
      <c r="S20" s="19" t="str">
        <f t="shared" si="2"/>
        <v>UK</v>
      </c>
      <c r="T20" s="19" t="str">
        <f t="shared" si="3"/>
        <v>MAR</v>
      </c>
    </row>
    <row r="21" spans="1:2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  <c r="J21" s="16" t="str">
        <f t="shared" si="0"/>
        <v>STANDARD</v>
      </c>
      <c r="R21" s="19" t="str">
        <f t="shared" si="1"/>
        <v>14</v>
      </c>
      <c r="S21" s="19" t="str">
        <f t="shared" si="2"/>
        <v>US</v>
      </c>
      <c r="T21" s="19" t="str">
        <f t="shared" si="3"/>
        <v>AUG</v>
      </c>
    </row>
    <row r="22" spans="1:2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  <c r="J22" s="16" t="str">
        <f t="shared" si="0"/>
        <v>HIGH</v>
      </c>
      <c r="R22" s="19" t="str">
        <f t="shared" si="1"/>
        <v>14</v>
      </c>
      <c r="S22" s="19" t="str">
        <f t="shared" si="2"/>
        <v>RU</v>
      </c>
      <c r="T22" s="19" t="str">
        <f t="shared" si="3"/>
        <v>MAY</v>
      </c>
    </row>
    <row r="23" spans="1:2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J23" s="16" t="str">
        <f t="shared" si="0"/>
        <v>STANDARD</v>
      </c>
      <c r="R23" s="19" t="str">
        <f t="shared" si="1"/>
        <v>09</v>
      </c>
      <c r="S23" s="19" t="str">
        <f t="shared" si="2"/>
        <v>CA</v>
      </c>
      <c r="T23" s="19" t="str">
        <f t="shared" si="3"/>
        <v>JAN</v>
      </c>
    </row>
    <row r="24" spans="1:2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J24" s="16" t="str">
        <f t="shared" si="0"/>
        <v>STANDARD</v>
      </c>
      <c r="R24" s="19" t="str">
        <f t="shared" si="1"/>
        <v>19</v>
      </c>
      <c r="S24" s="19" t="str">
        <f t="shared" si="2"/>
        <v>BR</v>
      </c>
      <c r="T24" s="19" t="str">
        <f t="shared" si="3"/>
        <v>JUL</v>
      </c>
    </row>
    <row r="25" spans="1:2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  <c r="J25" s="16" t="str">
        <f t="shared" si="0"/>
        <v>STANDARD</v>
      </c>
      <c r="R25" s="19" t="str">
        <f t="shared" si="1"/>
        <v>21</v>
      </c>
      <c r="S25" s="19" t="str">
        <f t="shared" si="2"/>
        <v>CA</v>
      </c>
      <c r="T25" s="19" t="str">
        <f t="shared" si="3"/>
        <v>AUG</v>
      </c>
    </row>
    <row r="26" spans="1:2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  <c r="J26" s="16" t="str">
        <f t="shared" si="0"/>
        <v>HIGH</v>
      </c>
      <c r="R26" s="19" t="str">
        <f t="shared" si="1"/>
        <v>29</v>
      </c>
      <c r="S26" s="19" t="str">
        <f t="shared" si="2"/>
        <v>CA</v>
      </c>
      <c r="T26" s="19" t="str">
        <f t="shared" si="3"/>
        <v>SEP</v>
      </c>
    </row>
    <row r="27" spans="1:2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  <c r="J27" s="16" t="str">
        <f t="shared" si="0"/>
        <v>STANDARD</v>
      </c>
      <c r="R27" s="19" t="str">
        <f t="shared" si="1"/>
        <v>03</v>
      </c>
      <c r="S27" s="19" t="str">
        <f t="shared" si="2"/>
        <v>CA</v>
      </c>
      <c r="T27" s="19" t="str">
        <f t="shared" si="3"/>
        <v>JUN</v>
      </c>
    </row>
    <row r="28" spans="1:2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J28" s="16" t="str">
        <f t="shared" si="0"/>
        <v>STANDARD</v>
      </c>
      <c r="R28" s="19" t="str">
        <f t="shared" si="1"/>
        <v>11</v>
      </c>
      <c r="S28" s="19" t="str">
        <f t="shared" si="2"/>
        <v>CA</v>
      </c>
      <c r="T28" s="19" t="str">
        <f t="shared" si="3"/>
        <v>JUL</v>
      </c>
    </row>
    <row r="29" spans="1:2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  <c r="J29" s="16" t="str">
        <f t="shared" si="0"/>
        <v>STANDARD</v>
      </c>
      <c r="R29" s="19" t="str">
        <f t="shared" si="1"/>
        <v>16</v>
      </c>
      <c r="S29" s="19" t="str">
        <f t="shared" si="2"/>
        <v>ES</v>
      </c>
      <c r="T29" s="19" t="str">
        <f t="shared" si="3"/>
        <v>APR</v>
      </c>
    </row>
    <row r="30" spans="1:2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  <c r="J30" s="16" t="str">
        <f t="shared" si="0"/>
        <v>STANDARD</v>
      </c>
      <c r="R30" s="19" t="str">
        <f t="shared" si="1"/>
        <v>07</v>
      </c>
      <c r="S30" s="19" t="str">
        <f t="shared" si="2"/>
        <v>CA</v>
      </c>
      <c r="T30" s="19" t="str">
        <f t="shared" si="3"/>
        <v>MAR</v>
      </c>
    </row>
    <row r="31" spans="1:2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  <c r="J31" s="16" t="str">
        <f t="shared" si="0"/>
        <v>STANDARD</v>
      </c>
      <c r="R31" s="19" t="str">
        <f t="shared" si="1"/>
        <v>13</v>
      </c>
      <c r="S31" s="19" t="str">
        <f t="shared" si="2"/>
        <v>CA</v>
      </c>
      <c r="T31" s="19" t="str">
        <f t="shared" si="3"/>
        <v>APR</v>
      </c>
    </row>
    <row r="32" spans="1:2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J32" s="16" t="str">
        <f t="shared" si="0"/>
        <v>STANDARD</v>
      </c>
      <c r="R32" s="19" t="str">
        <f t="shared" si="1"/>
        <v>24</v>
      </c>
      <c r="S32" s="19" t="str">
        <f t="shared" si="2"/>
        <v>CA</v>
      </c>
      <c r="T32" s="19" t="str">
        <f t="shared" si="3"/>
        <v>MAY</v>
      </c>
    </row>
    <row r="33" spans="1:2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  <c r="J33" s="16" t="str">
        <f t="shared" si="0"/>
        <v>STANDARD</v>
      </c>
      <c r="R33" s="19" t="str">
        <f t="shared" si="1"/>
        <v>02</v>
      </c>
      <c r="S33" s="19" t="str">
        <f t="shared" si="2"/>
        <v>CA</v>
      </c>
      <c r="T33" s="19" t="str">
        <f t="shared" si="3"/>
        <v>DEC</v>
      </c>
    </row>
    <row r="34" spans="1:2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J34" s="16" t="str">
        <f t="shared" si="0"/>
        <v>HIGH</v>
      </c>
      <c r="R34" s="19" t="str">
        <f t="shared" si="1"/>
        <v>17</v>
      </c>
      <c r="S34" s="19" t="str">
        <f t="shared" si="2"/>
        <v>IN</v>
      </c>
      <c r="T34" s="19" t="str">
        <f t="shared" si="3"/>
        <v>JUN</v>
      </c>
    </row>
    <row r="35" spans="1:2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J35" s="16" t="str">
        <f t="shared" si="0"/>
        <v>STANDARD</v>
      </c>
      <c r="R35" s="19" t="str">
        <f t="shared" si="1"/>
        <v>09</v>
      </c>
      <c r="S35" s="19" t="str">
        <f t="shared" si="2"/>
        <v>FR</v>
      </c>
      <c r="T35" s="19" t="str">
        <f t="shared" si="3"/>
        <v>JUL</v>
      </c>
    </row>
    <row r="36" spans="1:20" ht="15.75" customHeight="1" x14ac:dyDescent="0.25"/>
    <row r="37" spans="1:20" ht="15.75" customHeight="1" x14ac:dyDescent="0.25"/>
    <row r="38" spans="1:20" ht="15.75" customHeight="1" x14ac:dyDescent="0.25"/>
    <row r="39" spans="1:20" ht="15.75" customHeight="1" x14ac:dyDescent="0.25"/>
    <row r="40" spans="1:20" ht="15.75" customHeight="1" x14ac:dyDescent="0.25"/>
    <row r="41" spans="1:20" ht="15.75" customHeight="1" x14ac:dyDescent="0.25"/>
    <row r="42" spans="1:20" ht="15.75" customHeight="1" x14ac:dyDescent="0.25"/>
    <row r="43" spans="1:20" ht="15.75" customHeight="1" x14ac:dyDescent="0.25"/>
    <row r="44" spans="1:20" ht="15.75" customHeight="1" x14ac:dyDescent="0.25"/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MARIKRISHNA</dc:creator>
  <cp:lastModifiedBy>MARI KRISHNA</cp:lastModifiedBy>
  <dcterms:created xsi:type="dcterms:W3CDTF">2026-10-15T16:11:21Z</dcterms:created>
  <dcterms:modified xsi:type="dcterms:W3CDTF">2026-10-15T16:11:21Z</dcterms:modified>
</cp:coreProperties>
</file>